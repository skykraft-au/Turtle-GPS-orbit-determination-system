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inoColling\Desktop\GPS Project\GPS Report\"/>
    </mc:Choice>
  </mc:AlternateContent>
  <xr:revisionPtr revIDLastSave="0" documentId="13_ncr:1_{71819107-C5B1-40A4-A202-820E4D914154}" xr6:coauthVersionLast="47" xr6:coauthVersionMax="47" xr10:uidLastSave="{00000000-0000-0000-0000-000000000000}"/>
  <bookViews>
    <workbookView xWindow="-120" yWindow="-120" windowWidth="29040" windowHeight="15720" xr2:uid="{03B0D1A7-EDB3-47B9-AEA4-4803510FC44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I3" i="1" l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2" i="1"/>
  <c r="C64" i="1"/>
  <c r="E63" i="1"/>
  <c r="I63" i="1" s="1"/>
  <c r="E62" i="1"/>
  <c r="E61" i="1"/>
  <c r="E60" i="1"/>
  <c r="E59" i="1"/>
  <c r="E58" i="1"/>
  <c r="E57" i="1"/>
  <c r="E56" i="1"/>
  <c r="E55" i="1"/>
  <c r="E54" i="1"/>
  <c r="E53" i="1"/>
  <c r="E52" i="1"/>
  <c r="E51" i="1"/>
  <c r="E50" i="1"/>
  <c r="E49" i="1"/>
  <c r="E48" i="1"/>
  <c r="E47" i="1"/>
  <c r="E46" i="1"/>
  <c r="E45" i="1"/>
  <c r="E44" i="1"/>
  <c r="E43" i="1"/>
  <c r="E42" i="1"/>
  <c r="E41" i="1"/>
  <c r="E40" i="1"/>
  <c r="E39" i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64" i="1" l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E4" i="1"/>
  <c r="E3" i="1"/>
  <c r="E2" i="1"/>
</calcChain>
</file>

<file path=xl/sharedStrings.xml><?xml version="1.0" encoding="utf-8"?>
<sst xmlns="http://schemas.openxmlformats.org/spreadsheetml/2006/main" count="193" uniqueCount="193">
  <si>
    <t>Part Name</t>
  </si>
  <si>
    <t>Description</t>
  </si>
  <si>
    <t>Quantity</t>
  </si>
  <si>
    <t>Link for Purchase</t>
  </si>
  <si>
    <t>GRM155R60J106ME05D</t>
  </si>
  <si>
    <t>10uF Ceramic Capacitor 0402 6.3v</t>
  </si>
  <si>
    <t>Total Price (AUD)</t>
  </si>
  <si>
    <t>GRM155R61A475MEAAD</t>
  </si>
  <si>
    <t>GRM155R61A475MEAAD Murata Electronics | Ceramic Capacitors | DigiKey</t>
  </si>
  <si>
    <t>GRM155R60J106ME05D Murata Electronics | Ceramic Capacitors | DigiKey</t>
  </si>
  <si>
    <t>GRM155R71H471KA01D</t>
  </si>
  <si>
    <t>470pF Ceramic Capacitor 0402 50v</t>
  </si>
  <si>
    <t>4.7uF Ceramic Capacitor 0402 10v</t>
  </si>
  <si>
    <t>GRM155R71H471KA01D Murata Electronics | Ceramic Capacitors | DigiKey</t>
  </si>
  <si>
    <t>GRM155R71C103KA01D</t>
  </si>
  <si>
    <t>10nF Ceramic Capacitor 0402 16v</t>
  </si>
  <si>
    <t>GRM155R71C103KA01D Murata Electronics | Ceramic Capacitors | DigiKey</t>
  </si>
  <si>
    <t>Price per Unit (AUD) (10+)</t>
  </si>
  <si>
    <t>1.7pF Ceramic Capacitor 0402 50v</t>
  </si>
  <si>
    <t>GJM1555C1H1R7BB01D Murata Electronics | Ceramic Capacitors | DigiKey</t>
  </si>
  <si>
    <t>GJM1555C1H1R7BB01D</t>
  </si>
  <si>
    <t>1.1pF Ceramic Capacitor 0402 50v</t>
  </si>
  <si>
    <t>GJM1555C1H1R1CB01D</t>
  </si>
  <si>
    <t>GJM1555C1H1R1CB01D Murata Electronics | Ceramic Capacitors | DigiKey</t>
  </si>
  <si>
    <t>GRM033R60J104KE19D</t>
  </si>
  <si>
    <t>100nF Ceramic Capacitor 0201 6.3v</t>
  </si>
  <si>
    <t>GRM033R60J104KE19D Murata Electronics | Ceramic Capacitors | DigiKey</t>
  </si>
  <si>
    <t>Total Cost (AUD)</t>
  </si>
  <si>
    <t>GRM155R61E105KA12D</t>
  </si>
  <si>
    <t>1uF Ceramic Capacitor 0402 25v</t>
  </si>
  <si>
    <t>GRM155R61E105KA12D Murata Electronics | Ceramic Capacitors | DigiKey</t>
  </si>
  <si>
    <t>GRM155R60J474KE19D</t>
  </si>
  <si>
    <t>0.47uF Ceramic Capacitor 0402 6.3v</t>
  </si>
  <si>
    <t>GRM155R60J474KE19D Murata Electronics | Ceramic Capacitors | DigiKey</t>
  </si>
  <si>
    <t>GCM155R71H104KE02J</t>
  </si>
  <si>
    <t>100nF Ceramic Capacitor 0402 50v</t>
  </si>
  <si>
    <t>GCM155R71H104KE02J Murata Electronics | Ceramic Capacitors | DigiKey</t>
  </si>
  <si>
    <t>GQM1875C2E150FB12D</t>
  </si>
  <si>
    <t>15pF Ceramic Capacitor 0603 250v</t>
  </si>
  <si>
    <t>GQM1875C2E150FB12D Murata Electronics | Ceramic Capacitors | DigiKey</t>
  </si>
  <si>
    <t>100pF Ceramic Capacitor 0402 50v</t>
  </si>
  <si>
    <t>GCM1555C1H101JA16D Murata Electronics | Ceramic Capacitors | DigiKey</t>
  </si>
  <si>
    <t>GCM1555C1H101JA16D</t>
  </si>
  <si>
    <t>Parts</t>
  </si>
  <si>
    <t>750pF Ceramic Capacitor 0402 50v</t>
  </si>
  <si>
    <t>GCM1555C1H751JA16D Murata Electronics | Ceramic Capacitors | DigiKey</t>
  </si>
  <si>
    <t>GCM1555C1H751JA16D</t>
  </si>
  <si>
    <t>47pF Ceramic Capacitor 0402 50v</t>
  </si>
  <si>
    <t>GRM1555C1H470JA01D Murata Electronics | Ceramic Capacitors | DigiKey</t>
  </si>
  <si>
    <t>GRM1555C1H470JA01D</t>
  </si>
  <si>
    <t>47nF Ceramic Capacitor 0402 25v</t>
  </si>
  <si>
    <t>GRM155R71E473KA88D</t>
  </si>
  <si>
    <t>GRM155R71E473KA88D Murata Electronics | Ceramic Capacitors | DigiKey</t>
  </si>
  <si>
    <t>GJM1555C1H5R6BB01D</t>
  </si>
  <si>
    <t>GJM1555C1H5R6BB01D Murata Electronics | Ceramic Capacitors | DigiKey</t>
  </si>
  <si>
    <t>GRM1555C1H4R7CA01D</t>
  </si>
  <si>
    <t>GRM1555C1H4R7CA01D Murata Electronics | Ceramic Capacitors | DigiKey</t>
  </si>
  <si>
    <t>GRM1555C1H120FA01D</t>
  </si>
  <si>
    <t>4.7pF Ceramic Capacitor 0402 50v</t>
  </si>
  <si>
    <t>12pF Ceramic Capacitor 0402 50v</t>
  </si>
  <si>
    <t>GRM1555C1H120FA01D Murata Electronics | Ceramic Capacitors | DigiKey</t>
  </si>
  <si>
    <t>8.2pF Ceramic Capacitor 0402 50v</t>
  </si>
  <si>
    <t>GRM1555C1H8R2CA01D Murata Electronics | Ceramic Capacitors | DigiKey</t>
  </si>
  <si>
    <t>GRM1555C1H8R2CA01D</t>
  </si>
  <si>
    <t>GRM1555C1H102JA01D</t>
  </si>
  <si>
    <t>1nF Ceramic Capacitor 0402 50v</t>
  </si>
  <si>
    <t>GRM1555C1H102JA01D Murata Electronics | Ceramic Capacitors | DigiKey</t>
  </si>
  <si>
    <t>GJM1555C1H6R8WB01D</t>
  </si>
  <si>
    <t>6.8pF Ceramic Capacitor 0402 50v</t>
  </si>
  <si>
    <t>GJM1555C1H6R8WB01D Murata Electronics | Ceramic Capacitors | DigiKey</t>
  </si>
  <si>
    <t>GRM32ER60G337ME05L</t>
  </si>
  <si>
    <t>330uF Ceramic Capacitor 1210 4v</t>
  </si>
  <si>
    <t>GRM32ER60G337ME05L Murata Electronics | Ceramic Capacitors | DigiKey</t>
  </si>
  <si>
    <t>GRM31CR61A476ME15L</t>
  </si>
  <si>
    <t>47uF Ceramic Capacitor 1206 10v</t>
  </si>
  <si>
    <t>GRM31CR61A476ME15L Murata Electronics | Ceramic Capacitors | DigiKey</t>
  </si>
  <si>
    <t>GRM1555C1H100FA01D</t>
  </si>
  <si>
    <t>10pF Ceramic Capacitor 0402 50v</t>
  </si>
  <si>
    <t>GRM1555C1H100FA01D Murata Electronics | Ceramic Capacitors | DigiKey</t>
  </si>
  <si>
    <t>1210YD107MAT4A</t>
  </si>
  <si>
    <t>100uF Ceramic Capacitor 1210 16v</t>
  </si>
  <si>
    <t>1210YD107MAT4A KYOCERA AVX | Ceramic Capacitors | DigiKey</t>
  </si>
  <si>
    <t>LQW15AN5N6C10D</t>
  </si>
  <si>
    <t>5.6nH Inductor 0402</t>
  </si>
  <si>
    <t>LQW15AN5N6C10D Murata Electronics | Fixed Inductors | DigiKey</t>
  </si>
  <si>
    <t>LQW15AN8N4G8ZD</t>
  </si>
  <si>
    <t>8.4nH Inductor 0402</t>
  </si>
  <si>
    <t>LQW15AN8N4G8ZD Murata Electronics | Fixed Inductors | DigiKey</t>
  </si>
  <si>
    <t>LBR2012T220K</t>
  </si>
  <si>
    <t>22uH Inductor 0805</t>
  </si>
  <si>
    <t>LBR2012T220K Taiyo Yuden | Fixed Inductors | DigiKey</t>
  </si>
  <si>
    <t>LQW15AN56NJ00D</t>
  </si>
  <si>
    <t>56nH Inductor 0402</t>
  </si>
  <si>
    <t>LQW15AN56NJ00D Murata Electronics | Fixed Inductors | DigiKey</t>
  </si>
  <si>
    <t>LQW15AN30NJ00D</t>
  </si>
  <si>
    <t>30nH Inductor 0402</t>
  </si>
  <si>
    <t>LQW15AN30NJ00D Murata Electronics | Fixed Inductors | DigiKey</t>
  </si>
  <si>
    <t>LQW15AN8N2J00D</t>
  </si>
  <si>
    <t>8.2nH Inductor 0402</t>
  </si>
  <si>
    <t>LQW15AN8N2J00D Murata Electronics | Fixed Inductors | DigiKey</t>
  </si>
  <si>
    <t>LQW15AN18NG00D</t>
  </si>
  <si>
    <t>LQW15AN18NG00D Murata Electronics | Fixed Inductors | DigiKey</t>
  </si>
  <si>
    <t>LQW15AN20NJ00D</t>
  </si>
  <si>
    <t>20nH Inductor 0402</t>
  </si>
  <si>
    <t>18nH Inductor 0402</t>
  </si>
  <si>
    <t>LQW15AN20NJ00D Murata Electronics | Fixed Inductors | DigiKey</t>
  </si>
  <si>
    <t>RC0402FR-0720KL</t>
  </si>
  <si>
    <t>20kOhm Resistor 0402</t>
  </si>
  <si>
    <t>RC0402FR-0720KL YAGEO | Chip Resistor - Surface Mount | DigiKey</t>
  </si>
  <si>
    <t>RC0402FR-07220KL</t>
  </si>
  <si>
    <t>220kOhm Resistor 0402</t>
  </si>
  <si>
    <t>RC0402FR-07220KL YAGEO | Chip Resistor - Surface Mount | DigiKey</t>
  </si>
  <si>
    <t>RC0402FR-07100KL</t>
  </si>
  <si>
    <t>100kOhm Resistor 0402</t>
  </si>
  <si>
    <t>RC0402FR-07100KL YAGEO | Chip Resistor - Surface Mount | DigiKey</t>
  </si>
  <si>
    <t>RC0603FR-0710KL</t>
  </si>
  <si>
    <t>10kOhm Resistor 0402</t>
  </si>
  <si>
    <t>RC0603FR-0710KL YAGEO | Chip Resistor - Surface Mount | DigiKey</t>
  </si>
  <si>
    <t>RC0402JR-0733RL</t>
  </si>
  <si>
    <t>33Ohm Resistor 0402</t>
  </si>
  <si>
    <t>RC0402JR-0733RL YAGEO | Chip Resistor - Surface Mount | DigiKey</t>
  </si>
  <si>
    <t>RC0603FR-07330RL</t>
  </si>
  <si>
    <t>330Ohm Resistor 0402</t>
  </si>
  <si>
    <t>RC0603FR-07330RL YAGEO | Chip Resistor - Surface Mount | DigiKey</t>
  </si>
  <si>
    <t>RT0402BRD0715KL</t>
  </si>
  <si>
    <t>15kOhm Resistor 0402</t>
  </si>
  <si>
    <t>RT0402BRD0715KL YAGEO | Chip Resistor - Surface Mount | DigiKey</t>
  </si>
  <si>
    <t>RC0402JR-070RL</t>
  </si>
  <si>
    <t>0Ohm Resistor 0402</t>
  </si>
  <si>
    <t>RC0402JR-070RL YAGEO | Chip Resistor - Surface Mount | DigiKey</t>
  </si>
  <si>
    <t>BZT52C20-7-F</t>
  </si>
  <si>
    <t>20v Zener Diode</t>
  </si>
  <si>
    <t>BZT52C20-7-F Diodes Incorporated | Single Zener Diodes | DigiKey</t>
  </si>
  <si>
    <t>SML-D12U1WT86</t>
  </si>
  <si>
    <t>Red LED 0603</t>
  </si>
  <si>
    <t>SML-D12U1WT86 Rohm Semiconductor | LED Indication - Discrete | DigiKey</t>
  </si>
  <si>
    <t>MT25QL128ABA1ESE-0SIT TR</t>
  </si>
  <si>
    <t>MT25QL128ABA1ESE-0SIT TR Micron Technology Inc. | Memory | DigiKey</t>
  </si>
  <si>
    <t>M20-9990246</t>
  </si>
  <si>
    <t>Flash Memory 128Mbit</t>
  </si>
  <si>
    <t>2 pin Connector</t>
  </si>
  <si>
    <t>M20-9990246 Harwin Inc. | Headers, Male Pins | DigiKey</t>
  </si>
  <si>
    <t>MMCX-J-P-H-ST-SM1</t>
  </si>
  <si>
    <t>MMCX Connector</t>
  </si>
  <si>
    <t>MMCX-J-P-H-ST-SM1 Samtec Inc. | Coaxial Connector (RF) Assemblies | DigiKey</t>
  </si>
  <si>
    <t>JTAG Connector</t>
  </si>
  <si>
    <t>0878311420 Molex | Headers, Male Pins | DigiKey</t>
  </si>
  <si>
    <t>DMP1045UQ-7</t>
  </si>
  <si>
    <t>P-Channel MOSFET</t>
  </si>
  <si>
    <t>DMP1045UQ-7 Diodes Incorporated | Single FETs, MOSFETs | DigiKey</t>
  </si>
  <si>
    <t>PTS647SK38SMTR2 LFS</t>
  </si>
  <si>
    <t>Tactile SPST Switch</t>
  </si>
  <si>
    <t>PTS647SK38SMTR2 LFS C&amp;K | Tactile Switches | DigiKey</t>
  </si>
  <si>
    <t>ECS-TXO-2520MV-320-AN-TR</t>
  </si>
  <si>
    <t>32MHz TCXO CMOS</t>
  </si>
  <si>
    <t>ECS-TXO-2520MV-320-AN-TR ECS Inc. | Oscillators | DigiKey</t>
  </si>
  <si>
    <t>ADP160AUJZ-1.8-R7</t>
  </si>
  <si>
    <t>ADP160AUJZ-1.8-R7 Analog Devices Inc. | Voltage Regulators - Linear, Low Drop Out (LDO) Regulators | DigiKey</t>
  </si>
  <si>
    <t>MAX8570ELT+T</t>
  </si>
  <si>
    <t>Boost Converter</t>
  </si>
  <si>
    <t>MAX8570ELT+T Analog Devices Inc./Maxim Integrated | Special Purpose Regulators | DigiKey</t>
  </si>
  <si>
    <t>LP5912-1.0DRVR</t>
  </si>
  <si>
    <t>1.0v LDO</t>
  </si>
  <si>
    <t>1.8v LDO</t>
  </si>
  <si>
    <t>LP5912-1.0DRVR Texas Instruments | Voltage Regulators - Linear, Low Drop Out (LDO) Regulators | DigiKey</t>
  </si>
  <si>
    <t>NCV4274CST33T3G</t>
  </si>
  <si>
    <t>3.3v LDO large-range</t>
  </si>
  <si>
    <t>NCV4274CST33T3G onsemi | Voltage Regulators - Linear, Low Drop Out (LDO) Regulators | DigiKey</t>
  </si>
  <si>
    <t>TLV73333PDBVR</t>
  </si>
  <si>
    <t>3.3v LDO Precise</t>
  </si>
  <si>
    <t>TLV73333PDBVR Texas Instruments | Voltage Regulators - Linear, Low Drop Out (LDO) Regulators | DigiKey</t>
  </si>
  <si>
    <t>MAX2771ETI+T</t>
  </si>
  <si>
    <t>RF GNSS Receiver</t>
  </si>
  <si>
    <t>MAX2771ETI+T Analog Devices Inc./Maxim Integrated | RF Receivers | DigiKey</t>
  </si>
  <si>
    <t>XC7S15-1FTGB196C</t>
  </si>
  <si>
    <t>Spartan-7 FPGA</t>
  </si>
  <si>
    <t>XC7S15-1FTGB196C AMD | FPGAs (Field Programmable Gate Array) | DigiKey</t>
  </si>
  <si>
    <t>SX1276IMLTRT</t>
  </si>
  <si>
    <t>LoRa TxRx IC</t>
  </si>
  <si>
    <t>SX1276IMLTRT Semtech Corporation | RF Transceiver ICs | DigiKey</t>
  </si>
  <si>
    <t>MP06838</t>
  </si>
  <si>
    <t>32MHz TCXO Clipped sine wave</t>
  </si>
  <si>
    <t>MP06838 Golledge Electronics Ltd | Oscillators | DigiKey</t>
  </si>
  <si>
    <t>ASWD-S2-0002-T</t>
  </si>
  <si>
    <t>RF Switch</t>
  </si>
  <si>
    <t>ASWD-S2-0002-T Abracon LLC | RF Switches | DigiKey</t>
  </si>
  <si>
    <t>ETXO-L33CL-100.000</t>
  </si>
  <si>
    <t>100MHz TCXO LVDS</t>
  </si>
  <si>
    <t>ETXO-L33CL-100.000 ECS Inc. | Oscillators | DigiKey</t>
  </si>
  <si>
    <t>PCBWay PCB</t>
  </si>
  <si>
    <t>PCB</t>
  </si>
  <si>
    <t>China PCB Prototype &amp; Fabrication Manufacturer - PCB Prototype the Easy Way</t>
  </si>
  <si>
    <t>5.6pF Ceramic Capacitor 0402 50v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</si>
</sst>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0" fontId="0" fillId="0" borderId="0" xfId="0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digikey.com.au/en/products/detail/murata-electronics/GCM1555C1H751JA16D/10700551" TargetMode="External"/><Relationship Id="rId18" Type="http://schemas.openxmlformats.org/officeDocument/2006/relationships/hyperlink" Target="https://www.digikey.com.au/en/products/detail/murata-electronics/GRM1555C1H120FA01D/3693922" TargetMode="External"/><Relationship Id="rId26" Type="http://schemas.openxmlformats.org/officeDocument/2006/relationships/hyperlink" Target="https://www.digikey.com.au/en/products/detail/murata-electronics/LQW15AN5N6C10D/2594938" TargetMode="External"/><Relationship Id="rId39" Type="http://schemas.openxmlformats.org/officeDocument/2006/relationships/hyperlink" Target="https://www.digikey.com.au/en/products/detail/yageo/RC0603FR-07330RL/727162" TargetMode="External"/><Relationship Id="rId21" Type="http://schemas.openxmlformats.org/officeDocument/2006/relationships/hyperlink" Target="https://www.digikey.com.au/en/products/detail/murata-electronics/GJM1555C1H6R8WB01D/6606076" TargetMode="External"/><Relationship Id="rId34" Type="http://schemas.openxmlformats.org/officeDocument/2006/relationships/hyperlink" Target="https://www.digikey.com.au/en/products/detail/yageo/RC0402FR-0720KL/726557" TargetMode="External"/><Relationship Id="rId42" Type="http://schemas.openxmlformats.org/officeDocument/2006/relationships/hyperlink" Target="https://www.digikey.com.au/en/products/detail/diodes-incorporated/bzt52c20-7-f/755470" TargetMode="External"/><Relationship Id="rId47" Type="http://schemas.openxmlformats.org/officeDocument/2006/relationships/hyperlink" Target="https://www.digikey.com.au/en/products/detail/molex/0878311420/662449" TargetMode="External"/><Relationship Id="rId50" Type="http://schemas.openxmlformats.org/officeDocument/2006/relationships/hyperlink" Target="https://www.digikey.com.au/en/products/detail/ecs-inc/ecs-txo-2520mv-320-an-tr/13178996" TargetMode="External"/><Relationship Id="rId55" Type="http://schemas.openxmlformats.org/officeDocument/2006/relationships/hyperlink" Target="https://www.digikey.com.au/en/products/detail/texas-instruments/tlv73333pdbvr/5022378" TargetMode="External"/><Relationship Id="rId7" Type="http://schemas.openxmlformats.org/officeDocument/2006/relationships/hyperlink" Target="https://www.digikey.com.au/en/products/detail/murata-electronics/GRM033R60J104KE19D/702433" TargetMode="External"/><Relationship Id="rId2" Type="http://schemas.openxmlformats.org/officeDocument/2006/relationships/hyperlink" Target="https://www.digikey.com/en/products/detail/murata-electronics/GRM155R60J106ME05D/11500166?msockid=3a6c7e0222cf6c7636726842235e6d7a" TargetMode="External"/><Relationship Id="rId16" Type="http://schemas.openxmlformats.org/officeDocument/2006/relationships/hyperlink" Target="https://www.digikey.com.au/en/products/detail/murata-electronics/GJM1555C1H5R6BB01D/2593043" TargetMode="External"/><Relationship Id="rId29" Type="http://schemas.openxmlformats.org/officeDocument/2006/relationships/hyperlink" Target="https://www.digikey.com.au/en/products/detail/murata-electronics/LQW15AN56NJ00D/584364" TargetMode="External"/><Relationship Id="rId11" Type="http://schemas.openxmlformats.org/officeDocument/2006/relationships/hyperlink" Target="https://www.digikey.com.au/en/products/detail/murata-electronics/GQM1875C2E150FB12D/4419970" TargetMode="External"/><Relationship Id="rId24" Type="http://schemas.openxmlformats.org/officeDocument/2006/relationships/hyperlink" Target="https://www.digikey.com.au/en/products/detail/murata-electronics/GRM1555C1H100FA01D/2543854" TargetMode="External"/><Relationship Id="rId32" Type="http://schemas.openxmlformats.org/officeDocument/2006/relationships/hyperlink" Target="https://www.digikey.com.au/en/products/detail/murata-electronics/LQW15AN18NG00D/2594860" TargetMode="External"/><Relationship Id="rId37" Type="http://schemas.openxmlformats.org/officeDocument/2006/relationships/hyperlink" Target="https://www.digikey.com.au/en/products/detail/yageo/RC0603FR-0710KL/726880" TargetMode="External"/><Relationship Id="rId40" Type="http://schemas.openxmlformats.org/officeDocument/2006/relationships/hyperlink" Target="https://www.digikey.com.au/en/products/detail/yageo/RT0402BRD0715KL/1069050" TargetMode="External"/><Relationship Id="rId45" Type="http://schemas.openxmlformats.org/officeDocument/2006/relationships/hyperlink" Target="https://www.digikey.com.au/en/products/detail/harwin-inc/M20-9990246/3728226" TargetMode="External"/><Relationship Id="rId53" Type="http://schemas.openxmlformats.org/officeDocument/2006/relationships/hyperlink" Target="https://www.digikey.com.au/en/products/detail/texas-instruments/LP5912-1-0DRVR/9860178" TargetMode="External"/><Relationship Id="rId58" Type="http://schemas.openxmlformats.org/officeDocument/2006/relationships/hyperlink" Target="https://www.digikey.com.au/en/products/detail/semtech-corporation/sx1276imltrt/4259565" TargetMode="External"/><Relationship Id="rId5" Type="http://schemas.openxmlformats.org/officeDocument/2006/relationships/hyperlink" Target="https://www.digikey.com.au/en/products/detail/murata-electronics/GJM1555C1H1R7BB01D/2592897" TargetMode="External"/><Relationship Id="rId61" Type="http://schemas.openxmlformats.org/officeDocument/2006/relationships/hyperlink" Target="https://www.digikey.com.au/en/products/detail/ecs-inc/etxo-l33cl-100-000/18108737" TargetMode="External"/><Relationship Id="rId19" Type="http://schemas.openxmlformats.org/officeDocument/2006/relationships/hyperlink" Target="https://www.digikey.com.au/en/products/detail/murata-electronics/GRM1555C1H8R2CA01D/3693886" TargetMode="External"/><Relationship Id="rId14" Type="http://schemas.openxmlformats.org/officeDocument/2006/relationships/hyperlink" Target="https://www.digikey.com.au/en/products/detail/murata-electronics/GRM1555C1H470JA01D/3693853" TargetMode="External"/><Relationship Id="rId22" Type="http://schemas.openxmlformats.org/officeDocument/2006/relationships/hyperlink" Target="https://www.digikey.com.au/en/products/detail/murata-electronics/GRM32ER60G337ME05L/6155746" TargetMode="External"/><Relationship Id="rId27" Type="http://schemas.openxmlformats.org/officeDocument/2006/relationships/hyperlink" Target="https://www.digikey.com.au/en/products/detail/murata-electronics/LQW15AN8N4G8ZD/6799020" TargetMode="External"/><Relationship Id="rId30" Type="http://schemas.openxmlformats.org/officeDocument/2006/relationships/hyperlink" Target="https://www.digikey.com.au/en/products/detail/murata-electronics/LQW15AN30NJ00D/2594896" TargetMode="External"/><Relationship Id="rId35" Type="http://schemas.openxmlformats.org/officeDocument/2006/relationships/hyperlink" Target="https://www.digikey.com.au/en/products/detail/yageo/RC0402FR-07220KL/726564" TargetMode="External"/><Relationship Id="rId43" Type="http://schemas.openxmlformats.org/officeDocument/2006/relationships/hyperlink" Target="https://www.digikey.com.au/en/products/detail/rohm-semiconductor/sml-d12u1wt86/5843853" TargetMode="External"/><Relationship Id="rId48" Type="http://schemas.openxmlformats.org/officeDocument/2006/relationships/hyperlink" Target="https://www.digikey.com.au/en/products/detail/diodes-incorporated/dmp1045uq-7/8537809" TargetMode="External"/><Relationship Id="rId56" Type="http://schemas.openxmlformats.org/officeDocument/2006/relationships/hyperlink" Target="https://www.digikey.com.au/en/products/detail/analog-devices-inc-maxim-integrated/max2771eti-t/9833527" TargetMode="External"/><Relationship Id="rId8" Type="http://schemas.openxmlformats.org/officeDocument/2006/relationships/hyperlink" Target="https://www.digikey.com.au/en/products/detail/murata-electronics/GRM155R61E105KA12D/4905139" TargetMode="External"/><Relationship Id="rId51" Type="http://schemas.openxmlformats.org/officeDocument/2006/relationships/hyperlink" Target="https://www.digikey.com.au/en/products/detail/analog-devices-inc/adp160aujz-1-8-r7/2510619" TargetMode="External"/><Relationship Id="rId3" Type="http://schemas.openxmlformats.org/officeDocument/2006/relationships/hyperlink" Target="https://www.digikey.com.au/en/products/detail/murata-electronics/GRM155R71H471KA01D/587231" TargetMode="External"/><Relationship Id="rId12" Type="http://schemas.openxmlformats.org/officeDocument/2006/relationships/hyperlink" Target="https://www.digikey.com.au/en/products/detail/murata-electronics/GCM1555C1H101JA16D/4903548" TargetMode="External"/><Relationship Id="rId17" Type="http://schemas.openxmlformats.org/officeDocument/2006/relationships/hyperlink" Target="https://www.digikey.com.au/en/products/detail/murata-electronics/GRM1555C1H4R7CA01D/3175193" TargetMode="External"/><Relationship Id="rId25" Type="http://schemas.openxmlformats.org/officeDocument/2006/relationships/hyperlink" Target="https://www.digikey.com.au/en/products/detail/kyocera-avx/1210YD107MAT4A/11211375" TargetMode="External"/><Relationship Id="rId33" Type="http://schemas.openxmlformats.org/officeDocument/2006/relationships/hyperlink" Target="https://www.digikey.com.au/en/products/detail/murata-electronics/LQW15AN20NJ00D/2594871" TargetMode="External"/><Relationship Id="rId38" Type="http://schemas.openxmlformats.org/officeDocument/2006/relationships/hyperlink" Target="https://www.digikey.com.au/en/products/detail/yageo/RC0402JR-0733RL/726467" TargetMode="External"/><Relationship Id="rId46" Type="http://schemas.openxmlformats.org/officeDocument/2006/relationships/hyperlink" Target="https://www.digikey.com.au/en/products/detail/samtec-inc/mmcx-j-p-h-st-sm1/2707983" TargetMode="External"/><Relationship Id="rId59" Type="http://schemas.openxmlformats.org/officeDocument/2006/relationships/hyperlink" Target="https://www.digikey.com.au/en/products/detail/golledge-electronics-ltd/MP06838/16999515" TargetMode="External"/><Relationship Id="rId20" Type="http://schemas.openxmlformats.org/officeDocument/2006/relationships/hyperlink" Target="https://www.digikey.com.au/en/products/detail/murata-electronics/GRM1555C1H102JA01D/702509" TargetMode="External"/><Relationship Id="rId41" Type="http://schemas.openxmlformats.org/officeDocument/2006/relationships/hyperlink" Target="https://www.digikey.com.au/en/products/detail/yageo/RC0402JR-070RL/726406" TargetMode="External"/><Relationship Id="rId54" Type="http://schemas.openxmlformats.org/officeDocument/2006/relationships/hyperlink" Target="https://www.digikey.com.au/en/products/detail/onsemi/ncv4274cst33t3g/7562181" TargetMode="External"/><Relationship Id="rId62" Type="http://schemas.openxmlformats.org/officeDocument/2006/relationships/hyperlink" Target="https://www.pcbway.com/" TargetMode="External"/><Relationship Id="rId1" Type="http://schemas.openxmlformats.org/officeDocument/2006/relationships/hyperlink" Target="https://www.digikey.com.au/en/products/detail/murata-electronics/GRM155R61A475MEAAD/6234735" TargetMode="External"/><Relationship Id="rId6" Type="http://schemas.openxmlformats.org/officeDocument/2006/relationships/hyperlink" Target="https://www.digikey.com.au/en/products/detail/murata-electronics/GJM1555C1H1R1CB01D/702277" TargetMode="External"/><Relationship Id="rId15" Type="http://schemas.openxmlformats.org/officeDocument/2006/relationships/hyperlink" Target="https://www.digikey.com.au/en/products/detail/murata-electronics/GRM155R71E473KA88D/702519" TargetMode="External"/><Relationship Id="rId23" Type="http://schemas.openxmlformats.org/officeDocument/2006/relationships/hyperlink" Target="https://www.digikey.com.au/en/products/detail/murata-electronics/GRM31CR61A476ME15L/2334879" TargetMode="External"/><Relationship Id="rId28" Type="http://schemas.openxmlformats.org/officeDocument/2006/relationships/hyperlink" Target="https://www.digikey.com.au/en/products/detail/taiyo-yuden/LBR2012T220K/1788938" TargetMode="External"/><Relationship Id="rId36" Type="http://schemas.openxmlformats.org/officeDocument/2006/relationships/hyperlink" Target="https://www.digikey.com.au/en/products/detail/yageo/RC0402FR-07100KL/726526" TargetMode="External"/><Relationship Id="rId49" Type="http://schemas.openxmlformats.org/officeDocument/2006/relationships/hyperlink" Target="https://www.digikey.com.au/en/products/detail/c-k/pts647sk38smtr2-lfs/9649862" TargetMode="External"/><Relationship Id="rId57" Type="http://schemas.openxmlformats.org/officeDocument/2006/relationships/hyperlink" Target="https://www.digikey.com.au/en/products/detail/amd/xc7s15-1ftgb196c/9380262" TargetMode="External"/><Relationship Id="rId10" Type="http://schemas.openxmlformats.org/officeDocument/2006/relationships/hyperlink" Target="https://www.digikey.com.au/en/products/detail/murata-electronics/GCM155R71H104KE02J/4903705" TargetMode="External"/><Relationship Id="rId31" Type="http://schemas.openxmlformats.org/officeDocument/2006/relationships/hyperlink" Target="https://www.digikey.com.au/en/products/detail/murata-electronics/LQW15AN8N2J00D/584353" TargetMode="External"/><Relationship Id="rId44" Type="http://schemas.openxmlformats.org/officeDocument/2006/relationships/hyperlink" Target="https://www.digikey.com.au/en/products/detail/micron-technology-inc/mt25ql128aba1ese-0sit-tr/6595661" TargetMode="External"/><Relationship Id="rId52" Type="http://schemas.openxmlformats.org/officeDocument/2006/relationships/hyperlink" Target="https://www.digikey.com.au/en/products/detail/analog-devices-inc-maxim-integrated/max8570elt-t/2658803" TargetMode="External"/><Relationship Id="rId60" Type="http://schemas.openxmlformats.org/officeDocument/2006/relationships/hyperlink" Target="https://www.digikey.com.au/en/products/detail/abracon-llc/ASWD-S2-0002-T/26485746" TargetMode="External"/><Relationship Id="rId4" Type="http://schemas.openxmlformats.org/officeDocument/2006/relationships/hyperlink" Target="https://www.digikey.com.au/en/products/detail/murata-electronics/GRM155R71C103KA01D/587215" TargetMode="External"/><Relationship Id="rId9" Type="http://schemas.openxmlformats.org/officeDocument/2006/relationships/hyperlink" Target="https://www.digikey.com.au/en/products/detail/murata-electronics/GRM155R60J474KE19D/70253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2E171A-7260-426E-87C5-5B62F7E17673}">
  <dimension ref="A1:I64"/>
  <sheetViews>
    <sheetView tabSelected="1" topLeftCell="A31" zoomScaleNormal="100" workbookViewId="0">
      <selection activeCell="F65" sqref="F65"/>
    </sheetView>
  </sheetViews>
  <sheetFormatPr defaultRowHeight="15" x14ac:dyDescent="0.25"/>
  <cols>
    <col min="1" max="1" width="26.42578125" customWidth="1"/>
    <col min="2" max="2" width="32" customWidth="1"/>
    <col min="3" max="3" width="9.28515625" customWidth="1"/>
    <col min="4" max="4" width="23.140625" customWidth="1"/>
    <col min="5" max="5" width="16.85546875" customWidth="1"/>
    <col min="6" max="6" width="66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17</v>
      </c>
      <c r="E1" t="s">
        <v>6</v>
      </c>
      <c r="F1" t="s">
        <v>3</v>
      </c>
    </row>
    <row r="2" spans="1:9" x14ac:dyDescent="0.25">
      <c r="A2" t="s">
        <v>4</v>
      </c>
      <c r="B2" t="s">
        <v>5</v>
      </c>
      <c r="C2">
        <v>8</v>
      </c>
      <c r="D2">
        <v>3.1E-2</v>
      </c>
      <c r="E2">
        <f t="shared" ref="E2:E33" si="0">D2*C2</f>
        <v>0.248</v>
      </c>
      <c r="F2" s="1" t="s">
        <v>9</v>
      </c>
      <c r="I2" t="str">
        <f>A2 &amp; " &amp;" &amp; B2 &amp; " &amp;" &amp; C2 &amp; " &amp;" &amp; E2 &amp; " \\"</f>
        <v>GRM155R60J106ME05D &amp;10uF Ceramic Capacitor 0402 6.3v &amp;8 &amp;0.248 \\</v>
      </c>
    </row>
    <row r="3" spans="1:9" x14ac:dyDescent="0.25">
      <c r="A3" t="s">
        <v>7</v>
      </c>
      <c r="B3" t="s">
        <v>12</v>
      </c>
      <c r="C3">
        <v>1</v>
      </c>
      <c r="D3">
        <v>9.1999999999999998E-2</v>
      </c>
      <c r="E3">
        <f t="shared" si="0"/>
        <v>9.1999999999999998E-2</v>
      </c>
      <c r="F3" s="1" t="s">
        <v>8</v>
      </c>
      <c r="I3" t="str">
        <f t="shared" ref="I3:I63" si="1">A3 &amp; " &amp;" &amp; B3 &amp; " &amp;" &amp; C3 &amp; " &amp;" &amp; E3 &amp; " \\"</f>
        <v>GRM155R61A475MEAAD &amp;4.7uF Ceramic Capacitor 0402 10v &amp;1 &amp;0.092 \\</v>
      </c>
    </row>
    <row r="4" spans="1:9" x14ac:dyDescent="0.25">
      <c r="A4" t="s">
        <v>10</v>
      </c>
      <c r="B4" t="s">
        <v>11</v>
      </c>
      <c r="C4">
        <v>2</v>
      </c>
      <c r="D4">
        <v>5.3999999999999999E-2</v>
      </c>
      <c r="E4">
        <f t="shared" si="0"/>
        <v>0.108</v>
      </c>
      <c r="F4" s="1" t="s">
        <v>13</v>
      </c>
      <c r="I4" t="str">
        <f t="shared" si="1"/>
        <v>GRM155R71H471KA01D &amp;470pF Ceramic Capacitor 0402 50v &amp;2 &amp;0.108 \\</v>
      </c>
    </row>
    <row r="5" spans="1:9" x14ac:dyDescent="0.25">
      <c r="A5" t="s">
        <v>14</v>
      </c>
      <c r="B5" t="s">
        <v>15</v>
      </c>
      <c r="C5">
        <v>2</v>
      </c>
      <c r="D5">
        <v>3.1E-2</v>
      </c>
      <c r="E5">
        <f t="shared" si="0"/>
        <v>6.2E-2</v>
      </c>
      <c r="F5" s="1" t="s">
        <v>16</v>
      </c>
      <c r="I5" t="str">
        <f t="shared" si="1"/>
        <v>GRM155R71C103KA01D &amp;10nF Ceramic Capacitor 0402 16v &amp;2 &amp;0.062 \\</v>
      </c>
    </row>
    <row r="6" spans="1:9" x14ac:dyDescent="0.25">
      <c r="A6" t="s">
        <v>20</v>
      </c>
      <c r="B6" t="s">
        <v>18</v>
      </c>
      <c r="C6">
        <v>1</v>
      </c>
      <c r="D6">
        <v>7.3999999999999996E-2</v>
      </c>
      <c r="E6">
        <f t="shared" si="0"/>
        <v>7.3999999999999996E-2</v>
      </c>
      <c r="F6" s="1" t="s">
        <v>19</v>
      </c>
      <c r="I6" t="str">
        <f t="shared" si="1"/>
        <v>GJM1555C1H1R7BB01D &amp;1.7pF Ceramic Capacitor 0402 50v &amp;1 &amp;0.074 \\</v>
      </c>
    </row>
    <row r="7" spans="1:9" x14ac:dyDescent="0.25">
      <c r="A7" t="s">
        <v>22</v>
      </c>
      <c r="B7" t="s">
        <v>21</v>
      </c>
      <c r="C7">
        <v>1</v>
      </c>
      <c r="D7">
        <v>5.1999999999999998E-2</v>
      </c>
      <c r="E7">
        <f t="shared" si="0"/>
        <v>5.1999999999999998E-2</v>
      </c>
      <c r="F7" s="1" t="s">
        <v>23</v>
      </c>
      <c r="I7" t="str">
        <f t="shared" si="1"/>
        <v>GJM1555C1H1R1CB01D &amp;1.1pF Ceramic Capacitor 0402 50v &amp;1 &amp;0.052 \\</v>
      </c>
    </row>
    <row r="8" spans="1:9" x14ac:dyDescent="0.25">
      <c r="A8" t="s">
        <v>24</v>
      </c>
      <c r="B8" t="s">
        <v>25</v>
      </c>
      <c r="C8">
        <v>27</v>
      </c>
      <c r="D8">
        <v>1.9E-2</v>
      </c>
      <c r="E8">
        <f t="shared" si="0"/>
        <v>0.51300000000000001</v>
      </c>
      <c r="F8" s="1" t="s">
        <v>26</v>
      </c>
      <c r="I8" t="str">
        <f t="shared" si="1"/>
        <v>GRM033R60J104KE19D &amp;100nF Ceramic Capacitor 0201 6.3v &amp;27 &amp;0.513 \\</v>
      </c>
    </row>
    <row r="9" spans="1:9" x14ac:dyDescent="0.25">
      <c r="A9" t="s">
        <v>28</v>
      </c>
      <c r="B9" t="s">
        <v>29</v>
      </c>
      <c r="C9">
        <v>12</v>
      </c>
      <c r="D9">
        <v>4.2000000000000003E-2</v>
      </c>
      <c r="E9">
        <f t="shared" si="0"/>
        <v>0.504</v>
      </c>
      <c r="F9" s="1" t="s">
        <v>30</v>
      </c>
      <c r="I9" t="str">
        <f t="shared" si="1"/>
        <v>GRM155R61E105KA12D &amp;1uF Ceramic Capacitor 0402 25v &amp;12 &amp;0.504 \\</v>
      </c>
    </row>
    <row r="10" spans="1:9" x14ac:dyDescent="0.25">
      <c r="A10" t="s">
        <v>31</v>
      </c>
      <c r="B10" t="s">
        <v>32</v>
      </c>
      <c r="C10">
        <v>6</v>
      </c>
      <c r="D10">
        <v>7.3999999999999996E-2</v>
      </c>
      <c r="E10">
        <f t="shared" si="0"/>
        <v>0.44399999999999995</v>
      </c>
      <c r="F10" s="1" t="s">
        <v>33</v>
      </c>
      <c r="I10" t="str">
        <f t="shared" si="1"/>
        <v>GRM155R60J474KE19D &amp;0.47uF Ceramic Capacitor 0402 6.3v &amp;6 &amp;0.444 \\</v>
      </c>
    </row>
    <row r="11" spans="1:9" x14ac:dyDescent="0.25">
      <c r="A11" t="s">
        <v>34</v>
      </c>
      <c r="B11" t="s">
        <v>35</v>
      </c>
      <c r="C11">
        <v>13</v>
      </c>
      <c r="D11">
        <v>0.05</v>
      </c>
      <c r="E11">
        <f t="shared" si="0"/>
        <v>0.65</v>
      </c>
      <c r="F11" s="1" t="s">
        <v>36</v>
      </c>
      <c r="I11" t="str">
        <f t="shared" si="1"/>
        <v>GCM155R71H104KE02J &amp;100nF Ceramic Capacitor 0402 50v &amp;13 &amp;0.65 \\</v>
      </c>
    </row>
    <row r="12" spans="1:9" x14ac:dyDescent="0.25">
      <c r="A12" t="s">
        <v>37</v>
      </c>
      <c r="B12" t="s">
        <v>38</v>
      </c>
      <c r="C12">
        <v>1</v>
      </c>
      <c r="D12">
        <v>0.48</v>
      </c>
      <c r="E12">
        <f t="shared" si="0"/>
        <v>0.48</v>
      </c>
      <c r="F12" s="1" t="s">
        <v>39</v>
      </c>
      <c r="I12" t="str">
        <f t="shared" si="1"/>
        <v>GQM1875C2E150FB12D &amp;15pF Ceramic Capacitor 0603 250v &amp;1 &amp;0.48 \\</v>
      </c>
    </row>
    <row r="13" spans="1:9" x14ac:dyDescent="0.25">
      <c r="A13" t="s">
        <v>42</v>
      </c>
      <c r="B13" t="s">
        <v>40</v>
      </c>
      <c r="C13">
        <v>4</v>
      </c>
      <c r="D13">
        <v>4.7E-2</v>
      </c>
      <c r="E13">
        <f t="shared" si="0"/>
        <v>0.188</v>
      </c>
      <c r="F13" s="1" t="s">
        <v>41</v>
      </c>
      <c r="I13" t="str">
        <f t="shared" si="1"/>
        <v>GCM1555C1H101JA16D &amp;100pF Ceramic Capacitor 0402 50v &amp;4 &amp;0.188 \\</v>
      </c>
    </row>
    <row r="14" spans="1:9" x14ac:dyDescent="0.25">
      <c r="A14" t="s">
        <v>46</v>
      </c>
      <c r="B14" t="s">
        <v>44</v>
      </c>
      <c r="C14">
        <v>1</v>
      </c>
      <c r="D14">
        <v>5.1999999999999998E-2</v>
      </c>
      <c r="E14">
        <f t="shared" si="0"/>
        <v>5.1999999999999998E-2</v>
      </c>
      <c r="F14" s="1" t="s">
        <v>45</v>
      </c>
      <c r="I14" t="str">
        <f t="shared" si="1"/>
        <v>GCM1555C1H751JA16D &amp;750pF Ceramic Capacitor 0402 50v &amp;1 &amp;0.052 \\</v>
      </c>
    </row>
    <row r="15" spans="1:9" x14ac:dyDescent="0.25">
      <c r="A15" t="s">
        <v>49</v>
      </c>
      <c r="B15" t="s">
        <v>47</v>
      </c>
      <c r="C15">
        <v>5</v>
      </c>
      <c r="D15">
        <v>3.5000000000000003E-2</v>
      </c>
      <c r="E15">
        <f t="shared" si="0"/>
        <v>0.17500000000000002</v>
      </c>
      <c r="F15" s="1" t="s">
        <v>48</v>
      </c>
      <c r="I15" t="str">
        <f t="shared" si="1"/>
        <v>GRM1555C1H470JA01D &amp;47pF Ceramic Capacitor 0402 50v &amp;5 &amp;0.175 \\</v>
      </c>
    </row>
    <row r="16" spans="1:9" x14ac:dyDescent="0.25">
      <c r="A16" t="s">
        <v>51</v>
      </c>
      <c r="B16" t="s">
        <v>50</v>
      </c>
      <c r="C16">
        <v>3</v>
      </c>
      <c r="D16">
        <v>3.2000000000000001E-2</v>
      </c>
      <c r="E16">
        <f t="shared" si="0"/>
        <v>9.6000000000000002E-2</v>
      </c>
      <c r="F16" s="1" t="s">
        <v>52</v>
      </c>
      <c r="I16" t="str">
        <f t="shared" si="1"/>
        <v>GRM155R71E473KA88D &amp;47nF Ceramic Capacitor 0402 25v &amp;3 &amp;0.096 \\</v>
      </c>
    </row>
    <row r="17" spans="1:9" x14ac:dyDescent="0.25">
      <c r="A17" t="s">
        <v>53</v>
      </c>
      <c r="B17" t="s">
        <v>192</v>
      </c>
      <c r="C17">
        <v>1</v>
      </c>
      <c r="D17">
        <v>7.3999999999999996E-2</v>
      </c>
      <c r="E17">
        <f t="shared" si="0"/>
        <v>7.3999999999999996E-2</v>
      </c>
      <c r="F17" s="1" t="s">
        <v>54</v>
      </c>
      <c r="I17" t="str">
        <f t="shared" si="1"/>
        <v>GJM1555C1H5R6BB01D &amp;5.6pF Ceramic Capacitor 0402 50v &amp;1 &amp;0.074 \\</v>
      </c>
    </row>
    <row r="18" spans="1:9" x14ac:dyDescent="0.25">
      <c r="A18" t="s">
        <v>55</v>
      </c>
      <c r="B18" t="s">
        <v>58</v>
      </c>
      <c r="C18">
        <v>1</v>
      </c>
      <c r="D18">
        <v>3.2000000000000001E-2</v>
      </c>
      <c r="E18">
        <f t="shared" si="0"/>
        <v>3.2000000000000001E-2</v>
      </c>
      <c r="F18" s="1" t="s">
        <v>56</v>
      </c>
      <c r="I18" t="str">
        <f t="shared" si="1"/>
        <v>GRM1555C1H4R7CA01D &amp;4.7pF Ceramic Capacitor 0402 50v &amp;1 &amp;0.032 \\</v>
      </c>
    </row>
    <row r="19" spans="1:9" x14ac:dyDescent="0.25">
      <c r="A19" t="s">
        <v>57</v>
      </c>
      <c r="B19" t="s">
        <v>59</v>
      </c>
      <c r="C19">
        <v>1</v>
      </c>
      <c r="D19">
        <v>7.2999999999999995E-2</v>
      </c>
      <c r="E19">
        <f t="shared" si="0"/>
        <v>7.2999999999999995E-2</v>
      </c>
      <c r="F19" s="1" t="s">
        <v>60</v>
      </c>
      <c r="I19" t="str">
        <f t="shared" si="1"/>
        <v>GRM1555C1H120FA01D &amp;12pF Ceramic Capacitor 0402 50v &amp;1 &amp;0.073 \\</v>
      </c>
    </row>
    <row r="20" spans="1:9" x14ac:dyDescent="0.25">
      <c r="A20" t="s">
        <v>63</v>
      </c>
      <c r="B20" t="s">
        <v>61</v>
      </c>
      <c r="C20">
        <v>1</v>
      </c>
      <c r="D20">
        <v>3.2000000000000001E-2</v>
      </c>
      <c r="E20">
        <f t="shared" si="0"/>
        <v>3.2000000000000001E-2</v>
      </c>
      <c r="F20" s="1" t="s">
        <v>62</v>
      </c>
      <c r="I20" t="str">
        <f t="shared" si="1"/>
        <v>GRM1555C1H8R2CA01D &amp;8.2pF Ceramic Capacitor 0402 50v &amp;1 &amp;0.032 \\</v>
      </c>
    </row>
    <row r="21" spans="1:9" x14ac:dyDescent="0.25">
      <c r="A21" t="s">
        <v>64</v>
      </c>
      <c r="B21" t="s">
        <v>65</v>
      </c>
      <c r="C21">
        <v>2</v>
      </c>
      <c r="D21">
        <v>0.05</v>
      </c>
      <c r="E21">
        <f t="shared" si="0"/>
        <v>0.1</v>
      </c>
      <c r="F21" s="1" t="s">
        <v>66</v>
      </c>
      <c r="I21" t="str">
        <f t="shared" si="1"/>
        <v>GRM1555C1H102JA01D &amp;1nF Ceramic Capacitor 0402 50v &amp;2 &amp;0.1 \\</v>
      </c>
    </row>
    <row r="22" spans="1:9" x14ac:dyDescent="0.25">
      <c r="A22" t="s">
        <v>67</v>
      </c>
      <c r="B22" t="s">
        <v>68</v>
      </c>
      <c r="C22">
        <v>2</v>
      </c>
      <c r="D22">
        <v>0.13400000000000001</v>
      </c>
      <c r="E22">
        <f t="shared" si="0"/>
        <v>0.26800000000000002</v>
      </c>
      <c r="F22" s="1" t="s">
        <v>69</v>
      </c>
      <c r="I22" t="str">
        <f t="shared" si="1"/>
        <v>GJM1555C1H6R8WB01D &amp;6.8pF Ceramic Capacitor 0402 50v &amp;2 &amp;0.268 \\</v>
      </c>
    </row>
    <row r="23" spans="1:9" x14ac:dyDescent="0.25">
      <c r="A23" t="s">
        <v>70</v>
      </c>
      <c r="B23" t="s">
        <v>71</v>
      </c>
      <c r="C23">
        <v>1</v>
      </c>
      <c r="D23">
        <v>1.6950000000000001</v>
      </c>
      <c r="E23">
        <f t="shared" si="0"/>
        <v>1.6950000000000001</v>
      </c>
      <c r="F23" s="1" t="s">
        <v>72</v>
      </c>
      <c r="I23" t="str">
        <f t="shared" si="1"/>
        <v>GRM32ER60G337ME05L &amp;330uF Ceramic Capacitor 1210 4v &amp;1 &amp;1.695 \\</v>
      </c>
    </row>
    <row r="24" spans="1:9" x14ac:dyDescent="0.25">
      <c r="A24" t="s">
        <v>73</v>
      </c>
      <c r="B24" t="s">
        <v>74</v>
      </c>
      <c r="C24">
        <v>1</v>
      </c>
      <c r="D24">
        <v>0.32</v>
      </c>
      <c r="E24">
        <f t="shared" si="0"/>
        <v>0.32</v>
      </c>
      <c r="F24" s="1" t="s">
        <v>75</v>
      </c>
      <c r="I24" t="str">
        <f t="shared" si="1"/>
        <v>GRM31CR61A476ME15L &amp;47uF Ceramic Capacitor 1206 10v &amp;1 &amp;0.32 \\</v>
      </c>
    </row>
    <row r="25" spans="1:9" x14ac:dyDescent="0.25">
      <c r="A25" t="s">
        <v>76</v>
      </c>
      <c r="B25" t="s">
        <v>77</v>
      </c>
      <c r="C25">
        <v>1</v>
      </c>
      <c r="D25">
        <v>6.4000000000000001E-2</v>
      </c>
      <c r="E25">
        <f t="shared" si="0"/>
        <v>6.4000000000000001E-2</v>
      </c>
      <c r="F25" s="1" t="s">
        <v>78</v>
      </c>
      <c r="I25" t="str">
        <f t="shared" si="1"/>
        <v>GRM1555C1H100FA01D &amp;10pF Ceramic Capacitor 0402 50v &amp;1 &amp;0.064 \\</v>
      </c>
    </row>
    <row r="26" spans="1:9" x14ac:dyDescent="0.25">
      <c r="A26" t="s">
        <v>79</v>
      </c>
      <c r="B26" t="s">
        <v>80</v>
      </c>
      <c r="C26">
        <v>8</v>
      </c>
      <c r="D26">
        <v>2.3210000000000002</v>
      </c>
      <c r="E26">
        <f t="shared" si="0"/>
        <v>18.568000000000001</v>
      </c>
      <c r="F26" s="1" t="s">
        <v>81</v>
      </c>
      <c r="I26" t="str">
        <f t="shared" si="1"/>
        <v>1210YD107MAT4A &amp;100uF Ceramic Capacitor 1210 16v &amp;8 &amp;18.568 \\</v>
      </c>
    </row>
    <row r="27" spans="1:9" x14ac:dyDescent="0.25">
      <c r="A27" t="s">
        <v>82</v>
      </c>
      <c r="B27" t="s">
        <v>83</v>
      </c>
      <c r="C27">
        <v>1</v>
      </c>
      <c r="D27">
        <v>0.154</v>
      </c>
      <c r="E27">
        <f t="shared" si="0"/>
        <v>0.154</v>
      </c>
      <c r="F27" s="1" t="s">
        <v>84</v>
      </c>
      <c r="I27" t="str">
        <f t="shared" si="1"/>
        <v>LQW15AN5N6C10D &amp;5.6nH Inductor 0402 &amp;1 &amp;0.154 \\</v>
      </c>
    </row>
    <row r="28" spans="1:9" x14ac:dyDescent="0.25">
      <c r="A28" t="s">
        <v>85</v>
      </c>
      <c r="B28" t="s">
        <v>86</v>
      </c>
      <c r="C28">
        <v>1</v>
      </c>
      <c r="D28">
        <v>0.20100000000000001</v>
      </c>
      <c r="E28">
        <f t="shared" si="0"/>
        <v>0.20100000000000001</v>
      </c>
      <c r="F28" s="1" t="s">
        <v>87</v>
      </c>
      <c r="I28" t="str">
        <f t="shared" si="1"/>
        <v>LQW15AN8N4G8ZD &amp;8.4nH Inductor 0402 &amp;1 &amp;0.201 \\</v>
      </c>
    </row>
    <row r="29" spans="1:9" x14ac:dyDescent="0.25">
      <c r="A29" t="s">
        <v>88</v>
      </c>
      <c r="B29" t="s">
        <v>89</v>
      </c>
      <c r="C29">
        <v>1</v>
      </c>
      <c r="D29">
        <v>0.114</v>
      </c>
      <c r="E29">
        <f t="shared" si="0"/>
        <v>0.114</v>
      </c>
      <c r="F29" s="1" t="s">
        <v>90</v>
      </c>
      <c r="I29" t="str">
        <f t="shared" si="1"/>
        <v>LBR2012T220K &amp;22uH Inductor 0805 &amp;1 &amp;0.114 \\</v>
      </c>
    </row>
    <row r="30" spans="1:9" x14ac:dyDescent="0.25">
      <c r="A30" t="s">
        <v>91</v>
      </c>
      <c r="B30" t="s">
        <v>92</v>
      </c>
      <c r="C30">
        <v>1</v>
      </c>
      <c r="D30">
        <v>0.128</v>
      </c>
      <c r="E30">
        <f t="shared" si="0"/>
        <v>0.128</v>
      </c>
      <c r="F30" s="1" t="s">
        <v>93</v>
      </c>
      <c r="I30" t="str">
        <f t="shared" si="1"/>
        <v>LQW15AN56NJ00D &amp;56nH Inductor 0402 &amp;1 &amp;0.128 \\</v>
      </c>
    </row>
    <row r="31" spans="1:9" x14ac:dyDescent="0.25">
      <c r="A31" t="s">
        <v>94</v>
      </c>
      <c r="B31" t="s">
        <v>95</v>
      </c>
      <c r="C31">
        <v>1</v>
      </c>
      <c r="D31">
        <v>0.16</v>
      </c>
      <c r="E31">
        <f t="shared" si="0"/>
        <v>0.16</v>
      </c>
      <c r="F31" s="1" t="s">
        <v>96</v>
      </c>
      <c r="I31" t="str">
        <f t="shared" si="1"/>
        <v>LQW15AN30NJ00D &amp;30nH Inductor 0402 &amp;1 &amp;0.16 \\</v>
      </c>
    </row>
    <row r="32" spans="1:9" x14ac:dyDescent="0.25">
      <c r="A32" t="s">
        <v>97</v>
      </c>
      <c r="B32" t="s">
        <v>98</v>
      </c>
      <c r="C32">
        <v>1</v>
      </c>
      <c r="D32">
        <v>0.128</v>
      </c>
      <c r="E32">
        <f t="shared" si="0"/>
        <v>0.128</v>
      </c>
      <c r="F32" s="1" t="s">
        <v>99</v>
      </c>
      <c r="I32" t="str">
        <f t="shared" si="1"/>
        <v>LQW15AN8N2J00D &amp;8.2nH Inductor 0402 &amp;1 &amp;0.128 \\</v>
      </c>
    </row>
    <row r="33" spans="1:9" x14ac:dyDescent="0.25">
      <c r="A33" t="s">
        <v>100</v>
      </c>
      <c r="B33" t="s">
        <v>104</v>
      </c>
      <c r="C33">
        <v>1</v>
      </c>
      <c r="D33">
        <v>0.14000000000000001</v>
      </c>
      <c r="E33">
        <f t="shared" si="0"/>
        <v>0.14000000000000001</v>
      </c>
      <c r="F33" s="1" t="s">
        <v>101</v>
      </c>
      <c r="I33" t="str">
        <f t="shared" si="1"/>
        <v>LQW15AN18NG00D &amp;18nH Inductor 0402 &amp;1 &amp;0.14 \\</v>
      </c>
    </row>
    <row r="34" spans="1:9" x14ac:dyDescent="0.25">
      <c r="A34" t="s">
        <v>102</v>
      </c>
      <c r="B34" t="s">
        <v>103</v>
      </c>
      <c r="C34">
        <v>1</v>
      </c>
      <c r="D34">
        <v>0.128</v>
      </c>
      <c r="E34">
        <f t="shared" ref="E34:E63" si="2">D34*C34</f>
        <v>0.128</v>
      </c>
      <c r="F34" s="1" t="s">
        <v>105</v>
      </c>
      <c r="I34" t="str">
        <f t="shared" si="1"/>
        <v>LQW15AN20NJ00D &amp;20nH Inductor 0402 &amp;1 &amp;0.128 \\</v>
      </c>
    </row>
    <row r="35" spans="1:9" x14ac:dyDescent="0.25">
      <c r="A35" t="s">
        <v>106</v>
      </c>
      <c r="B35" t="s">
        <v>107</v>
      </c>
      <c r="C35">
        <v>1</v>
      </c>
      <c r="D35">
        <v>3.1E-2</v>
      </c>
      <c r="E35">
        <f t="shared" si="2"/>
        <v>3.1E-2</v>
      </c>
      <c r="F35" s="1" t="s">
        <v>108</v>
      </c>
      <c r="I35" t="str">
        <f t="shared" si="1"/>
        <v>RC0402FR-0720KL &amp;20kOhm Resistor 0402 &amp;1 &amp;0.031 \\</v>
      </c>
    </row>
    <row r="36" spans="1:9" x14ac:dyDescent="0.25">
      <c r="A36" t="s">
        <v>109</v>
      </c>
      <c r="B36" t="s">
        <v>110</v>
      </c>
      <c r="C36">
        <v>1</v>
      </c>
      <c r="D36">
        <v>3.1E-2</v>
      </c>
      <c r="E36">
        <f t="shared" si="2"/>
        <v>3.1E-2</v>
      </c>
      <c r="F36" s="1" t="s">
        <v>111</v>
      </c>
      <c r="I36" t="str">
        <f t="shared" si="1"/>
        <v>RC0402FR-07220KL &amp;220kOhm Resistor 0402 &amp;1 &amp;0.031 \\</v>
      </c>
    </row>
    <row r="37" spans="1:9" x14ac:dyDescent="0.25">
      <c r="A37" t="s">
        <v>112</v>
      </c>
      <c r="B37" t="s">
        <v>113</v>
      </c>
      <c r="C37">
        <v>4</v>
      </c>
      <c r="D37">
        <v>3.1E-2</v>
      </c>
      <c r="E37">
        <f t="shared" si="2"/>
        <v>0.124</v>
      </c>
      <c r="F37" s="1" t="s">
        <v>114</v>
      </c>
      <c r="I37" t="str">
        <f t="shared" si="1"/>
        <v>RC0402FR-07100KL &amp;100kOhm Resistor 0402 &amp;4 &amp;0.124 \\</v>
      </c>
    </row>
    <row r="38" spans="1:9" x14ac:dyDescent="0.25">
      <c r="A38" t="s">
        <v>115</v>
      </c>
      <c r="B38" t="s">
        <v>116</v>
      </c>
      <c r="C38">
        <v>16</v>
      </c>
      <c r="D38">
        <v>3.5999999999999997E-2</v>
      </c>
      <c r="E38">
        <f t="shared" si="2"/>
        <v>0.57599999999999996</v>
      </c>
      <c r="F38" s="1" t="s">
        <v>117</v>
      </c>
      <c r="I38" t="str">
        <f t="shared" si="1"/>
        <v>RC0603FR-0710KL &amp;10kOhm Resistor 0402 &amp;16 &amp;0.576 \\</v>
      </c>
    </row>
    <row r="39" spans="1:9" x14ac:dyDescent="0.25">
      <c r="A39" t="s">
        <v>118</v>
      </c>
      <c r="B39" t="s">
        <v>119</v>
      </c>
      <c r="C39">
        <v>25</v>
      </c>
      <c r="D39">
        <v>2.8000000000000001E-2</v>
      </c>
      <c r="E39">
        <f t="shared" si="2"/>
        <v>0.70000000000000007</v>
      </c>
      <c r="F39" s="1" t="s">
        <v>120</v>
      </c>
      <c r="I39" t="str">
        <f t="shared" si="1"/>
        <v>RC0402JR-0733RL &amp;33Ohm Resistor 0402 &amp;25 &amp;0.7 \\</v>
      </c>
    </row>
    <row r="40" spans="1:9" x14ac:dyDescent="0.25">
      <c r="A40" t="s">
        <v>121</v>
      </c>
      <c r="B40" t="s">
        <v>122</v>
      </c>
      <c r="C40">
        <v>3</v>
      </c>
      <c r="D40">
        <v>3.5999999999999997E-2</v>
      </c>
      <c r="E40">
        <f t="shared" si="2"/>
        <v>0.10799999999999998</v>
      </c>
      <c r="F40" s="1" t="s">
        <v>123</v>
      </c>
      <c r="I40" t="str">
        <f t="shared" si="1"/>
        <v>RC0603FR-07330RL &amp;330Ohm Resistor 0402 &amp;3 &amp;0.108 \\</v>
      </c>
    </row>
    <row r="41" spans="1:9" x14ac:dyDescent="0.25">
      <c r="A41" t="s">
        <v>124</v>
      </c>
      <c r="B41" t="s">
        <v>125</v>
      </c>
      <c r="C41">
        <v>1</v>
      </c>
      <c r="D41">
        <v>0.114</v>
      </c>
      <c r="E41">
        <f t="shared" si="2"/>
        <v>0.114</v>
      </c>
      <c r="F41" s="1" t="s">
        <v>126</v>
      </c>
      <c r="I41" t="str">
        <f t="shared" si="1"/>
        <v>RT0402BRD0715KL &amp;15kOhm Resistor 0402 &amp;1 &amp;0.114 \\</v>
      </c>
    </row>
    <row r="42" spans="1:9" x14ac:dyDescent="0.25">
      <c r="A42" t="s">
        <v>127</v>
      </c>
      <c r="B42" t="s">
        <v>128</v>
      </c>
      <c r="C42">
        <v>2</v>
      </c>
      <c r="D42">
        <v>1.4999999999999999E-2</v>
      </c>
      <c r="E42">
        <f t="shared" si="2"/>
        <v>0.03</v>
      </c>
      <c r="F42" s="1" t="s">
        <v>129</v>
      </c>
      <c r="I42" t="str">
        <f t="shared" si="1"/>
        <v>RC0402JR-070RL &amp;0Ohm Resistor 0402 &amp;2 &amp;0.03 \\</v>
      </c>
    </row>
    <row r="43" spans="1:9" x14ac:dyDescent="0.25">
      <c r="A43" t="s">
        <v>130</v>
      </c>
      <c r="B43" t="s">
        <v>131</v>
      </c>
      <c r="C43">
        <v>1</v>
      </c>
      <c r="D43">
        <v>0.17499999999999999</v>
      </c>
      <c r="E43">
        <f t="shared" si="2"/>
        <v>0.17499999999999999</v>
      </c>
      <c r="F43" s="1" t="s">
        <v>132</v>
      </c>
      <c r="I43" t="str">
        <f t="shared" si="1"/>
        <v>BZT52C20-7-F &amp;20v Zener Diode &amp;1 &amp;0.175 \\</v>
      </c>
    </row>
    <row r="44" spans="1:9" x14ac:dyDescent="0.25">
      <c r="A44" t="s">
        <v>133</v>
      </c>
      <c r="B44" t="s">
        <v>134</v>
      </c>
      <c r="C44">
        <v>3</v>
      </c>
      <c r="D44">
        <v>0.122</v>
      </c>
      <c r="E44">
        <f t="shared" si="2"/>
        <v>0.36599999999999999</v>
      </c>
      <c r="F44" s="1" t="s">
        <v>135</v>
      </c>
      <c r="I44" t="str">
        <f t="shared" si="1"/>
        <v>SML-D12U1WT86 &amp;Red LED 0603 &amp;3 &amp;0.366 \\</v>
      </c>
    </row>
    <row r="45" spans="1:9" x14ac:dyDescent="0.25">
      <c r="A45" t="s">
        <v>136</v>
      </c>
      <c r="B45" t="s">
        <v>139</v>
      </c>
      <c r="C45">
        <v>1</v>
      </c>
      <c r="D45">
        <v>11.521000000000001</v>
      </c>
      <c r="E45">
        <f t="shared" si="2"/>
        <v>11.521000000000001</v>
      </c>
      <c r="F45" s="1" t="s">
        <v>137</v>
      </c>
      <c r="I45" t="str">
        <f t="shared" si="1"/>
        <v>MT25QL128ABA1ESE-0SIT TR &amp;Flash Memory 128Mbit &amp;1 &amp;11.521 \\</v>
      </c>
    </row>
    <row r="46" spans="1:9" x14ac:dyDescent="0.25">
      <c r="A46" t="s">
        <v>138</v>
      </c>
      <c r="B46" t="s">
        <v>140</v>
      </c>
      <c r="C46">
        <v>1</v>
      </c>
      <c r="D46">
        <v>0.115</v>
      </c>
      <c r="E46">
        <f t="shared" si="2"/>
        <v>0.115</v>
      </c>
      <c r="F46" s="1" t="s">
        <v>141</v>
      </c>
      <c r="I46" t="str">
        <f t="shared" si="1"/>
        <v>M20-9990246 &amp;2 pin Connector &amp;1 &amp;0.115 \\</v>
      </c>
    </row>
    <row r="47" spans="1:9" x14ac:dyDescent="0.25">
      <c r="A47" t="s">
        <v>142</v>
      </c>
      <c r="B47" t="s">
        <v>143</v>
      </c>
      <c r="C47">
        <v>3</v>
      </c>
      <c r="D47">
        <v>3.5526</v>
      </c>
      <c r="E47">
        <f t="shared" si="2"/>
        <v>10.6578</v>
      </c>
      <c r="F47" s="1" t="s">
        <v>144</v>
      </c>
      <c r="I47" t="str">
        <f t="shared" si="1"/>
        <v>MMCX-J-P-H-ST-SM1 &amp;MMCX Connector &amp;3 &amp;10.6578 \\</v>
      </c>
    </row>
    <row r="48" spans="1:9" x14ac:dyDescent="0.25">
      <c r="A48" s="2">
        <v>878311420</v>
      </c>
      <c r="B48" t="s">
        <v>145</v>
      </c>
      <c r="C48">
        <v>1</v>
      </c>
      <c r="D48">
        <v>2.7759399999999999</v>
      </c>
      <c r="E48">
        <f t="shared" si="2"/>
        <v>2.7759399999999999</v>
      </c>
      <c r="F48" s="1" t="s">
        <v>146</v>
      </c>
      <c r="I48" t="str">
        <f t="shared" si="1"/>
        <v>878311420 &amp;JTAG Connector &amp;1 &amp;2.77594 \\</v>
      </c>
    </row>
    <row r="49" spans="1:9" x14ac:dyDescent="0.25">
      <c r="A49" t="s">
        <v>147</v>
      </c>
      <c r="B49" t="s">
        <v>148</v>
      </c>
      <c r="C49">
        <v>1</v>
      </c>
      <c r="D49">
        <v>0.47</v>
      </c>
      <c r="E49">
        <f t="shared" si="2"/>
        <v>0.47</v>
      </c>
      <c r="F49" s="1" t="s">
        <v>149</v>
      </c>
      <c r="I49" t="str">
        <f t="shared" si="1"/>
        <v>DMP1045UQ-7 &amp;P-Channel MOSFET &amp;1 &amp;0.47 \\</v>
      </c>
    </row>
    <row r="50" spans="1:9" x14ac:dyDescent="0.25">
      <c r="A50" t="s">
        <v>150</v>
      </c>
      <c r="B50" t="s">
        <v>151</v>
      </c>
      <c r="C50">
        <v>1</v>
      </c>
      <c r="D50">
        <v>0.374</v>
      </c>
      <c r="E50">
        <f t="shared" si="2"/>
        <v>0.374</v>
      </c>
      <c r="F50" s="1" t="s">
        <v>152</v>
      </c>
      <c r="I50" t="str">
        <f t="shared" si="1"/>
        <v>PTS647SK38SMTR2 LFS &amp;Tactile SPST Switch &amp;1 &amp;0.374 \\</v>
      </c>
    </row>
    <row r="51" spans="1:9" x14ac:dyDescent="0.25">
      <c r="A51" t="s">
        <v>153</v>
      </c>
      <c r="B51" t="s">
        <v>154</v>
      </c>
      <c r="C51">
        <v>1</v>
      </c>
      <c r="D51">
        <v>2.6280000000000001</v>
      </c>
      <c r="E51">
        <f t="shared" si="2"/>
        <v>2.6280000000000001</v>
      </c>
      <c r="F51" s="1" t="s">
        <v>155</v>
      </c>
      <c r="I51" t="str">
        <f t="shared" si="1"/>
        <v>ECS-TXO-2520MV-320-AN-TR &amp;32MHz TCXO CMOS &amp;1 &amp;2.628 \\</v>
      </c>
    </row>
    <row r="52" spans="1:9" x14ac:dyDescent="0.25">
      <c r="A52" t="s">
        <v>156</v>
      </c>
      <c r="B52" t="s">
        <v>163</v>
      </c>
      <c r="C52">
        <v>1</v>
      </c>
      <c r="D52">
        <v>1.581</v>
      </c>
      <c r="E52">
        <f t="shared" si="2"/>
        <v>1.581</v>
      </c>
      <c r="F52" s="1" t="s">
        <v>157</v>
      </c>
      <c r="I52" t="str">
        <f t="shared" si="1"/>
        <v>ADP160AUJZ-1.8-R7 &amp;1.8v LDO &amp;1 &amp;1.581 \\</v>
      </c>
    </row>
    <row r="53" spans="1:9" x14ac:dyDescent="0.25">
      <c r="A53" t="s">
        <v>158</v>
      </c>
      <c r="B53" t="s">
        <v>159</v>
      </c>
      <c r="C53">
        <v>1</v>
      </c>
      <c r="D53">
        <v>5.7720000000000002</v>
      </c>
      <c r="E53">
        <f t="shared" si="2"/>
        <v>5.7720000000000002</v>
      </c>
      <c r="F53" s="1" t="s">
        <v>160</v>
      </c>
      <c r="I53" t="str">
        <f t="shared" si="1"/>
        <v>MAX8570ELT+T &amp;Boost Converter &amp;1 &amp;5.772 \\</v>
      </c>
    </row>
    <row r="54" spans="1:9" x14ac:dyDescent="0.25">
      <c r="A54" t="s">
        <v>161</v>
      </c>
      <c r="B54" t="s">
        <v>162</v>
      </c>
      <c r="C54">
        <v>1</v>
      </c>
      <c r="D54">
        <v>1.393</v>
      </c>
      <c r="E54">
        <f t="shared" si="2"/>
        <v>1.393</v>
      </c>
      <c r="F54" s="1" t="s">
        <v>164</v>
      </c>
      <c r="I54" t="str">
        <f t="shared" si="1"/>
        <v>LP5912-1.0DRVR &amp;1.0v LDO &amp;1 &amp;1.393 \\</v>
      </c>
    </row>
    <row r="55" spans="1:9" x14ac:dyDescent="0.25">
      <c r="A55" t="s">
        <v>165</v>
      </c>
      <c r="B55" t="s">
        <v>166</v>
      </c>
      <c r="C55">
        <v>1</v>
      </c>
      <c r="D55">
        <v>1.1970000000000001</v>
      </c>
      <c r="E55">
        <f t="shared" si="2"/>
        <v>1.1970000000000001</v>
      </c>
      <c r="F55" s="1" t="s">
        <v>167</v>
      </c>
      <c r="I55" t="str">
        <f t="shared" si="1"/>
        <v>NCV4274CST33T3G &amp;3.3v LDO large-range &amp;1 &amp;1.197 \\</v>
      </c>
    </row>
    <row r="56" spans="1:9" x14ac:dyDescent="0.25">
      <c r="A56" t="s">
        <v>168</v>
      </c>
      <c r="B56" t="s">
        <v>169</v>
      </c>
      <c r="C56">
        <v>1</v>
      </c>
      <c r="D56">
        <v>0.17199999999999999</v>
      </c>
      <c r="E56">
        <f t="shared" si="2"/>
        <v>0.17199999999999999</v>
      </c>
      <c r="F56" s="1" t="s">
        <v>170</v>
      </c>
      <c r="I56" t="str">
        <f t="shared" si="1"/>
        <v>TLV73333PDBVR &amp;3.3v LDO Precise &amp;1 &amp;0.172 \\</v>
      </c>
    </row>
    <row r="57" spans="1:9" x14ac:dyDescent="0.25">
      <c r="A57" t="s">
        <v>171</v>
      </c>
      <c r="B57" t="s">
        <v>172</v>
      </c>
      <c r="C57">
        <v>1</v>
      </c>
      <c r="D57">
        <v>12.871040000000001</v>
      </c>
      <c r="E57">
        <f t="shared" si="2"/>
        <v>12.871040000000001</v>
      </c>
      <c r="F57" s="1" t="s">
        <v>173</v>
      </c>
      <c r="I57" t="str">
        <f t="shared" si="1"/>
        <v>MAX2771ETI+T &amp;RF GNSS Receiver &amp;1 &amp;12.87104 \\</v>
      </c>
    </row>
    <row r="58" spans="1:9" x14ac:dyDescent="0.25">
      <c r="A58" t="s">
        <v>174</v>
      </c>
      <c r="B58" t="s">
        <v>175</v>
      </c>
      <c r="C58">
        <v>1</v>
      </c>
      <c r="D58">
        <v>38.9</v>
      </c>
      <c r="E58">
        <f t="shared" si="2"/>
        <v>38.9</v>
      </c>
      <c r="F58" s="1" t="s">
        <v>176</v>
      </c>
      <c r="I58" t="str">
        <f t="shared" si="1"/>
        <v>XC7S15-1FTGB196C &amp;Spartan-7 FPGA &amp;1 &amp;38.9 \\</v>
      </c>
    </row>
    <row r="59" spans="1:9" x14ac:dyDescent="0.25">
      <c r="A59" t="s">
        <v>177</v>
      </c>
      <c r="B59" t="s">
        <v>178</v>
      </c>
      <c r="C59">
        <v>1</v>
      </c>
      <c r="D59">
        <v>13.311999999999999</v>
      </c>
      <c r="E59">
        <f t="shared" si="2"/>
        <v>13.311999999999999</v>
      </c>
      <c r="F59" s="1" t="s">
        <v>179</v>
      </c>
      <c r="I59" t="str">
        <f t="shared" si="1"/>
        <v>SX1276IMLTRT &amp;LoRa TxRx IC &amp;1 &amp;13.312 \\</v>
      </c>
    </row>
    <row r="60" spans="1:9" x14ac:dyDescent="0.25">
      <c r="A60" t="s">
        <v>180</v>
      </c>
      <c r="B60" t="s">
        <v>181</v>
      </c>
      <c r="C60">
        <v>1</v>
      </c>
      <c r="D60">
        <v>3.806</v>
      </c>
      <c r="E60">
        <f t="shared" si="2"/>
        <v>3.806</v>
      </c>
      <c r="F60" s="1" t="s">
        <v>182</v>
      </c>
      <c r="I60" t="str">
        <f t="shared" si="1"/>
        <v>MP06838 &amp;32MHz TCXO Clipped sine wave &amp;1 &amp;3.806 \\</v>
      </c>
    </row>
    <row r="61" spans="1:9" x14ac:dyDescent="0.25">
      <c r="A61" t="s">
        <v>183</v>
      </c>
      <c r="B61" t="s">
        <v>184</v>
      </c>
      <c r="C61">
        <v>1</v>
      </c>
      <c r="D61">
        <v>0.36799999999999999</v>
      </c>
      <c r="E61">
        <f t="shared" si="2"/>
        <v>0.36799999999999999</v>
      </c>
      <c r="F61" s="1" t="s">
        <v>185</v>
      </c>
      <c r="I61" t="str">
        <f t="shared" si="1"/>
        <v>ASWD-S2-0002-T &amp;RF Switch &amp;1 &amp;0.368 \\</v>
      </c>
    </row>
    <row r="62" spans="1:9" x14ac:dyDescent="0.25">
      <c r="A62" t="s">
        <v>186</v>
      </c>
      <c r="B62" t="s">
        <v>187</v>
      </c>
      <c r="C62">
        <v>1</v>
      </c>
      <c r="D62">
        <v>20.3</v>
      </c>
      <c r="E62">
        <f t="shared" si="2"/>
        <v>20.3</v>
      </c>
      <c r="F62" s="1" t="s">
        <v>188</v>
      </c>
      <c r="I62" t="str">
        <f t="shared" si="1"/>
        <v>ETXO-L33CL-100.000 &amp;100MHz TCXO LVDS &amp;1 &amp;20.3 \\</v>
      </c>
    </row>
    <row r="63" spans="1:9" x14ac:dyDescent="0.25">
      <c r="A63" t="s">
        <v>189</v>
      </c>
      <c r="B63" t="s">
        <v>190</v>
      </c>
      <c r="C63">
        <v>1</v>
      </c>
      <c r="D63">
        <v>64</v>
      </c>
      <c r="E63">
        <f t="shared" si="2"/>
        <v>64</v>
      </c>
      <c r="F63" s="1" t="s">
        <v>191</v>
      </c>
      <c r="I63" t="str">
        <f t="shared" si="1"/>
        <v>PCBWay PCB &amp;PCB &amp;1 &amp;64 \\</v>
      </c>
    </row>
    <row r="64" spans="1:9" x14ac:dyDescent="0.25">
      <c r="B64" t="s">
        <v>43</v>
      </c>
      <c r="C64">
        <f>SUM(C1:C63)</f>
        <v>192</v>
      </c>
      <c r="D64" t="s">
        <v>27</v>
      </c>
      <c r="E64">
        <f>SUM(E1:E63)</f>
        <v>220.58578000000006</v>
      </c>
    </row>
  </sheetData>
  <hyperlinks>
    <hyperlink ref="F3" r:id="rId1" display="https://www.digikey.com.au/en/products/detail/murata-electronics/GRM155R61A475MEAAD/6234735" xr:uid="{FF9D2B68-7168-4040-A3C9-D598F2763A6D}"/>
    <hyperlink ref="F2" r:id="rId2" display="https://www.digikey.com/en/products/detail/murata-electronics/GRM155R60J106ME05D/11500166?msockid=3a6c7e0222cf6c7636726842235e6d7a" xr:uid="{8BDA2E1C-D332-44FF-AC6E-6AAFF0E2381B}"/>
    <hyperlink ref="F4" r:id="rId3" display="https://www.digikey.com.au/en/products/detail/murata-electronics/GRM155R71H471KA01D/587231" xr:uid="{29CF41A2-2B58-4E58-BD91-FC55E443B431}"/>
    <hyperlink ref="F5" r:id="rId4" display="https://www.digikey.com.au/en/products/detail/murata-electronics/GRM155R71C103KA01D/587215" xr:uid="{F793CF29-1EB0-4955-AEBB-4E7E056203E8}"/>
    <hyperlink ref="F6" r:id="rId5" display="https://www.digikey.com.au/en/products/detail/murata-electronics/GJM1555C1H1R7BB01D/2592897" xr:uid="{3508FEA9-3526-4598-91E8-4B464F5C7565}"/>
    <hyperlink ref="F7" r:id="rId6" display="https://www.digikey.com.au/en/products/detail/murata-electronics/GJM1555C1H1R1CB01D/702277" xr:uid="{E3090814-37E6-4100-AEF4-92E230F15376}"/>
    <hyperlink ref="F8" r:id="rId7" display="https://www.digikey.com.au/en/products/detail/murata-electronics/GRM033R60J104KE19D/702433" xr:uid="{8898F2A2-D9AC-4337-AF88-72044C65FFA5}"/>
    <hyperlink ref="F9" r:id="rId8" display="https://www.digikey.com.au/en/products/detail/murata-electronics/GRM155R61E105KA12D/4905139" xr:uid="{BBE0F680-6E05-4004-820F-E834B08C8042}"/>
    <hyperlink ref="F10" r:id="rId9" display="https://www.digikey.com.au/en/products/detail/murata-electronics/GRM155R60J474KE19D/702530" xr:uid="{98A6BC2E-FF19-4B12-B6EA-EC2672DFCF15}"/>
    <hyperlink ref="F11" r:id="rId10" display="https://www.digikey.com.au/en/products/detail/murata-electronics/GCM155R71H104KE02J/4903705" xr:uid="{45A533B6-34E4-4E20-9F0E-FBE8561D5710}"/>
    <hyperlink ref="F12" r:id="rId11" display="https://www.digikey.com.au/en/products/detail/murata-electronics/GQM1875C2E150FB12D/4419970" xr:uid="{9D862C3B-427B-4C29-A4DF-B2B6A4FC312E}"/>
    <hyperlink ref="F13" r:id="rId12" display="https://www.digikey.com.au/en/products/detail/murata-electronics/GCM1555C1H101JA16D/4903548" xr:uid="{67FDA0C5-D84A-4ABB-999B-5CE636848622}"/>
    <hyperlink ref="F14" r:id="rId13" display="https://www.digikey.com.au/en/products/detail/murata-electronics/GCM1555C1H751JA16D/10700551" xr:uid="{0B36FC9C-F19F-4F71-B4DD-79D44426524C}"/>
    <hyperlink ref="F15" r:id="rId14" display="https://www.digikey.com.au/en/products/detail/murata-electronics/GRM1555C1H470JA01D/3693853" xr:uid="{18CFD6EA-1B98-4700-99E9-D37DEB5CD5D8}"/>
    <hyperlink ref="F16" r:id="rId15" display="https://www.digikey.com.au/en/products/detail/murata-electronics/GRM155R71E473KA88D/702519" xr:uid="{BAA6EA0A-9754-466F-BC4A-E627EAD400F7}"/>
    <hyperlink ref="F17" r:id="rId16" display="https://www.digikey.com.au/en/products/detail/murata-electronics/GJM1555C1H5R6BB01D/2593043" xr:uid="{962F89B5-3D24-4581-805B-B6DBB093DA98}"/>
    <hyperlink ref="F18" r:id="rId17" display="https://www.digikey.com.au/en/products/detail/murata-electronics/GRM1555C1H4R7CA01D/3175193" xr:uid="{52242008-94DA-474B-A48D-377059CA5627}"/>
    <hyperlink ref="F19" r:id="rId18" display="https://www.digikey.com.au/en/products/detail/murata-electronics/GRM1555C1H120FA01D/3693922" xr:uid="{CEA4C0DA-1978-4FDB-8D89-A4974F85B1BE}"/>
    <hyperlink ref="F20" r:id="rId19" display="https://www.digikey.com.au/en/products/detail/murata-electronics/GRM1555C1H8R2CA01D/3693886" xr:uid="{FC27CD68-2DFC-4E3E-B28F-4E69A276B0B5}"/>
    <hyperlink ref="F21" r:id="rId20" display="https://www.digikey.com.au/en/products/detail/murata-electronics/GRM1555C1H102JA01D/702509" xr:uid="{110CE19B-4D60-4C31-AA43-265DD96494B0}"/>
    <hyperlink ref="F22" r:id="rId21" display="https://www.digikey.com.au/en/products/detail/murata-electronics/GJM1555C1H6R8WB01D/6606076" xr:uid="{F4EF84F2-2B25-47F7-9D0E-425A30CF71BD}"/>
    <hyperlink ref="F23" r:id="rId22" display="https://www.digikey.com.au/en/products/detail/murata-electronics/GRM32ER60G337ME05L/6155746" xr:uid="{8CA4B712-EE6A-4316-A77B-8F46B36ADCC8}"/>
    <hyperlink ref="F24" r:id="rId23" display="https://www.digikey.com.au/en/products/detail/murata-electronics/GRM31CR61A476ME15L/2334879" xr:uid="{97E1AD61-F397-4D97-A589-93056F4D688F}"/>
    <hyperlink ref="F25" r:id="rId24" display="https://www.digikey.com.au/en/products/detail/murata-electronics/GRM1555C1H100FA01D/2543854" xr:uid="{11271FA2-93B1-4FD1-8534-CB5828F4831A}"/>
    <hyperlink ref="F26" r:id="rId25" display="https://www.digikey.com.au/en/products/detail/kyocera-avx/1210YD107MAT4A/11211375" xr:uid="{E8C70E83-CE9A-42A7-9E90-EF29E90F8AC1}"/>
    <hyperlink ref="F27" r:id="rId26" display="https://www.digikey.com.au/en/products/detail/murata-electronics/LQW15AN5N6C10D/2594938" xr:uid="{D26F533D-2726-4D10-AEB0-2DCC967385D0}"/>
    <hyperlink ref="F28" r:id="rId27" display="https://www.digikey.com.au/en/products/detail/murata-electronics/LQW15AN8N4G8ZD/6799020" xr:uid="{D8B25214-B14D-44F1-BBF3-E9CCBB666465}"/>
    <hyperlink ref="F29" r:id="rId28" display="https://www.digikey.com.au/en/products/detail/taiyo-yuden/LBR2012T220K/1788938" xr:uid="{2314330D-E37C-4A89-84EE-DB00A1AB9758}"/>
    <hyperlink ref="F30" r:id="rId29" display="https://www.digikey.com.au/en/products/detail/murata-electronics/LQW15AN56NJ00D/584364" xr:uid="{2EE819D9-60DA-4368-8D1C-2DE114CFBA0E}"/>
    <hyperlink ref="F31" r:id="rId30" display="https://www.digikey.com.au/en/products/detail/murata-electronics/LQW15AN30NJ00D/2594896" xr:uid="{CDB0F9C6-8A66-480F-A94B-2AC734767549}"/>
    <hyperlink ref="F32" r:id="rId31" display="https://www.digikey.com.au/en/products/detail/murata-electronics/LQW15AN8N2J00D/584353" xr:uid="{C304447C-2968-4BA3-BACD-75B093FF62B9}"/>
    <hyperlink ref="F33" r:id="rId32" display="https://www.digikey.com.au/en/products/detail/murata-electronics/LQW15AN18NG00D/2594860" xr:uid="{F4FCC00E-B029-4EDD-8C19-A6DD171DBFE1}"/>
    <hyperlink ref="F34" r:id="rId33" display="https://www.digikey.com.au/en/products/detail/murata-electronics/LQW15AN20NJ00D/2594871" xr:uid="{E207A99D-7626-4A18-B4DF-FDF20559E150}"/>
    <hyperlink ref="F35" r:id="rId34" display="https://www.digikey.com.au/en/products/detail/yageo/RC0402FR-0720KL/726557" xr:uid="{629D34B3-56E0-4EC8-B8AC-3C22F6D16749}"/>
    <hyperlink ref="F36" r:id="rId35" display="https://www.digikey.com.au/en/products/detail/yageo/RC0402FR-07220KL/726564" xr:uid="{BC21149F-AB5C-46F5-A16C-6977F33B80CD}"/>
    <hyperlink ref="F37" r:id="rId36" display="https://www.digikey.com.au/en/products/detail/yageo/RC0402FR-07100KL/726526" xr:uid="{ACB088A5-EAA7-48B9-8AD6-0A5AE5C50BF7}"/>
    <hyperlink ref="F38" r:id="rId37" display="https://www.digikey.com.au/en/products/detail/yageo/RC0603FR-0710KL/726880" xr:uid="{84977970-5D08-4C65-9DB4-AFCA5888814E}"/>
    <hyperlink ref="F39" r:id="rId38" display="https://www.digikey.com.au/en/products/detail/yageo/RC0402JR-0733RL/726467" xr:uid="{0ABD7BD4-611C-401F-B2D3-53C1FF568EF3}"/>
    <hyperlink ref="F40" r:id="rId39" display="https://www.digikey.com.au/en/products/detail/yageo/RC0603FR-07330RL/727162" xr:uid="{8D556B17-3D67-483F-A862-526F26C5F42C}"/>
    <hyperlink ref="F41" r:id="rId40" display="https://www.digikey.com.au/en/products/detail/yageo/RT0402BRD0715KL/1069050" xr:uid="{D1AD8F9C-C589-4B15-AF8F-9F3ACCB35A65}"/>
    <hyperlink ref="F42" r:id="rId41" display="https://www.digikey.com.au/en/products/detail/yageo/RC0402JR-070RL/726406" xr:uid="{3AB4BB95-3A9A-40A5-9474-5B251FEF5992}"/>
    <hyperlink ref="F43" r:id="rId42" display="https://www.digikey.com.au/en/products/detail/diodes-incorporated/bzt52c20-7-f/755470" xr:uid="{53944689-B548-405D-91C3-17B607CDDF22}"/>
    <hyperlink ref="F44" r:id="rId43" display="https://www.digikey.com.au/en/products/detail/rohm-semiconductor/sml-d12u1wt86/5843853" xr:uid="{E40C418D-5B6C-4180-93AE-A28A36828E9B}"/>
    <hyperlink ref="F45" r:id="rId44" display="https://www.digikey.com.au/en/products/detail/micron-technology-inc/mt25ql128aba1ese-0sit-tr/6595661" xr:uid="{EB44D222-1310-4C88-BD4E-7FC25CA5EDE9}"/>
    <hyperlink ref="F46" r:id="rId45" display="https://www.digikey.com.au/en/products/detail/harwin-inc/M20-9990246/3728226" xr:uid="{0EA68506-541D-4429-8ECB-48D6C942AE3E}"/>
    <hyperlink ref="F47" r:id="rId46" display="https://www.digikey.com.au/en/products/detail/samtec-inc/mmcx-j-p-h-st-sm1/2707983" xr:uid="{6DD02DFF-9D56-4EF1-B653-12799AEB18FF}"/>
    <hyperlink ref="F48" r:id="rId47" display="https://www.digikey.com.au/en/products/detail/molex/0878311420/662449" xr:uid="{E4D80123-39A2-417A-A48B-1464C4A954EA}"/>
    <hyperlink ref="F49" r:id="rId48" display="https://www.digikey.com.au/en/products/detail/diodes-incorporated/dmp1045uq-7/8537809" xr:uid="{A1453D68-5B04-44CA-8620-04547553A1F8}"/>
    <hyperlink ref="F50" r:id="rId49" display="https://www.digikey.com.au/en/products/detail/c-k/pts647sk38smtr2-lfs/9649862" xr:uid="{41CD03F8-DE14-4A9C-ABAF-22D44D0833EE}"/>
    <hyperlink ref="F51" r:id="rId50" display="https://www.digikey.com.au/en/products/detail/ecs-inc/ecs-txo-2520mv-320-an-tr/13178996" xr:uid="{99C0B441-AD51-4264-BD52-27A2FB6A955C}"/>
    <hyperlink ref="F52" r:id="rId51" display="https://www.digikey.com.au/en/products/detail/analog-devices-inc/adp160aujz-1-8-r7/2510619" xr:uid="{B9BB3E83-E2A5-44D1-BF51-4FAEFC196897}"/>
    <hyperlink ref="F53" r:id="rId52" display="https://www.digikey.com.au/en/products/detail/analog-devices-inc-maxim-integrated/max8570elt-t/2658803" xr:uid="{C995349B-9818-49C1-B9C5-C00EA05773B0}"/>
    <hyperlink ref="F54" r:id="rId53" display="https://www.digikey.com.au/en/products/detail/texas-instruments/LP5912-1-0DRVR/9860178" xr:uid="{405520AA-1609-49A7-A6DA-514EDB079E92}"/>
    <hyperlink ref="F55" r:id="rId54" display="https://www.digikey.com.au/en/products/detail/onsemi/ncv4274cst33t3g/7562181" xr:uid="{2BB6DD21-2AD6-48B7-B8FE-8C398C6378C6}"/>
    <hyperlink ref="F56" r:id="rId55" display="https://www.digikey.com.au/en/products/detail/texas-instruments/tlv73333pdbvr/5022378" xr:uid="{542688F1-823C-41A8-A059-53E7460699CB}"/>
    <hyperlink ref="F57" r:id="rId56" location="product-details-alt-pack-types" display="https://www.digikey.com.au/en/products/detail/analog-devices-inc-maxim-integrated/max2771eti-t/9833527 - product-details-alt-pack-types" xr:uid="{D8FCC6AC-D66D-4AD4-8BDC-0F2466D8BC26}"/>
    <hyperlink ref="F58" r:id="rId57" display="https://www.digikey.com.au/en/products/detail/amd/xc7s15-1ftgb196c/9380262" xr:uid="{5A0BA484-CBCD-4EEF-B298-B84F31E54E5F}"/>
    <hyperlink ref="F59" r:id="rId58" display="https://www.digikey.com.au/en/products/detail/semtech-corporation/sx1276imltrt/4259565" xr:uid="{8B2A2D4D-83E8-4158-8136-B1D0C6990B8E}"/>
    <hyperlink ref="F60" r:id="rId59" display="https://www.digikey.com.au/en/products/detail/golledge-electronics-ltd/MP06838/16999515" xr:uid="{1457B279-CEB2-4E70-AC90-BAAF89DFFF6C}"/>
    <hyperlink ref="F61" r:id="rId60" display="https://www.digikey.com.au/en/products/detail/abracon-llc/ASWD-S2-0002-T/26485746" xr:uid="{E21C3B71-9C11-40FA-879A-149993FAC7BE}"/>
    <hyperlink ref="F62" r:id="rId61" display="https://www.digikey.com.au/en/products/detail/ecs-inc/etxo-l33cl-100-000/18108737" xr:uid="{9F1E0BB3-F79C-4CF0-A8C3-825D79C104AE}"/>
    <hyperlink ref="F63" r:id="rId62" display="https://www.pcbway.com/" xr:uid="{2F455B0B-22E4-4213-86A3-97E1D5418AE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Dino Colling</dc:creator>
  <cp:lastModifiedBy>Dino Colling</cp:lastModifiedBy>
  <dcterms:created xsi:type="dcterms:W3CDTF">2026-06-11T04:23:22Z</dcterms:created>
  <dcterms:modified xsi:type="dcterms:W3CDTF">2026-07-20T07:52:42Z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2026-06-11T04:23:25Z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4ce13ec1-08b3-42c7-8d87-389531dafed3</vt:lpwstr>
  </property>
  <property fmtid="{D5CDD505-2E9C-101B-9397-08002B2CF9AE}" pid="7" name="MSIP_Label_defa4170-0d19-0005-0004-bc88714345d2_ActionId">
    <vt:lpwstr>5525c0d2-2e17-4a92-8a25-beda7f305e9d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